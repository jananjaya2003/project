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  <sheet name="Settlement 01" sheetId="2" state="visible" r:id="rId2"/>
    <sheet name="Settlement 02" sheetId="3" state="visible" r:id="rId3"/>
  </sheets>
  <definedNames>
    <definedName name="_xlnm.Print_Area" localSheetId="2">'Settlement 02'!$A$1:$D$33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RotisSansSerif"/>
      <family val="2"/>
      <b val="1"/>
      <color rgb="FF000000"/>
      <sz val="10"/>
    </font>
    <font>
      <name val="RotisSansSerif"/>
      <family val="2"/>
      <color theme="1"/>
      <sz val="10"/>
    </font>
    <font>
      <name val="RotisSansSerif"/>
      <family val="2"/>
      <color rgb="FF000000"/>
      <sz val="10"/>
    </font>
    <font>
      <name val="RotisSansSerif"/>
      <family val="2"/>
      <b val="1"/>
      <color theme="1"/>
      <sz val="10"/>
    </font>
    <font>
      <name val="RotisSansSerif"/>
      <family val="2"/>
      <b val="1"/>
      <color rgb="FF000000"/>
      <sz val="10"/>
      <u val="single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3" fontId="1" fillId="0" borderId="0"/>
  </cellStyleXfs>
  <cellXfs count="42">
    <xf numFmtId="0" fontId="0" fillId="0" borderId="0" pivotButton="0" quotePrefix="0" xfId="0"/>
    <xf numFmtId="43" fontId="0" fillId="0" borderId="0" pivotButton="0" quotePrefix="0" xfId="1"/>
    <xf numFmtId="0" fontId="0" fillId="0" borderId="1" pivotButton="0" quotePrefix="0" xfId="0"/>
    <xf numFmtId="43" fontId="0" fillId="0" borderId="1" pivotButton="0" quotePrefix="0" xfId="1"/>
    <xf numFmtId="43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3" fontId="4" fillId="0" borderId="1" pivotButton="0" quotePrefix="0" xfId="0"/>
    <xf numFmtId="0" fontId="4" fillId="0" borderId="0" applyAlignment="1" pivotButton="0" quotePrefix="0" xfId="0">
      <alignment vertical="center"/>
    </xf>
    <xf numFmtId="43" fontId="3" fillId="0" borderId="1" pivotButton="0" quotePrefix="0" xfId="1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43" fontId="4" fillId="0" borderId="0" pivotButton="0" quotePrefix="0" xfId="1"/>
    <xf numFmtId="43" fontId="2" fillId="0" borderId="1" pivotButton="0" quotePrefix="0" xfId="1"/>
    <xf numFmtId="43" fontId="4" fillId="0" borderId="1" pivotButton="0" quotePrefix="0" xfId="1"/>
    <xf numFmtId="43" fontId="3" fillId="0" borderId="0" pivotButton="0" quotePrefix="0" xfId="1"/>
    <xf numFmtId="43" fontId="4" fillId="0" borderId="1" applyAlignment="1" pivotButton="0" quotePrefix="0" xfId="1">
      <alignment vertical="center"/>
    </xf>
    <xf numFmtId="0" fontId="4" fillId="2" borderId="1" applyAlignment="1" pivotButton="0" quotePrefix="0" xfId="0">
      <alignment vertical="center"/>
    </xf>
    <xf numFmtId="0" fontId="2" fillId="2" borderId="1" pivotButton="0" quotePrefix="0" xfId="0"/>
    <xf numFmtId="43" fontId="0" fillId="0" borderId="1" pivotButton="0" quotePrefix="0" xfId="0"/>
    <xf numFmtId="43" fontId="2" fillId="0" borderId="0" pivotButton="0" quotePrefix="0" xfId="1"/>
    <xf numFmtId="43" fontId="2" fillId="0" borderId="0" applyAlignment="1" pivotButton="0" quotePrefix="0" xfId="1">
      <alignment horizontal="center"/>
    </xf>
    <xf numFmtId="43" fontId="4" fillId="0" borderId="0" pivotButton="0" quotePrefix="0" xfId="1"/>
    <xf numFmtId="43" fontId="4" fillId="0" borderId="0" applyAlignment="1" pivotButton="0" quotePrefix="0" xfId="1">
      <alignment vertical="center"/>
    </xf>
    <xf numFmtId="43" fontId="4" fillId="0" borderId="0" pivotButton="0" quotePrefix="0" xfId="1"/>
    <xf numFmtId="43" fontId="2" fillId="0" borderId="0" pivotButton="0" quotePrefix="0" xfId="1"/>
    <xf numFmtId="0" fontId="0" fillId="0" borderId="4" pivotButton="0" quotePrefix="0" xfId="0"/>
    <xf numFmtId="43" fontId="0" fillId="0" borderId="4" pivotButton="0" quotePrefix="0" xfId="0"/>
    <xf numFmtId="43" fontId="0" fillId="0" borderId="4" pivotButton="0" quotePrefix="0" xfId="1"/>
    <xf numFmtId="43" fontId="5" fillId="0" borderId="2" applyAlignment="1" pivotButton="0" quotePrefix="0" xfId="1">
      <alignment horizontal="right"/>
    </xf>
    <xf numFmtId="43" fontId="5" fillId="0" borderId="3" applyAlignment="1" pivotButton="0" quotePrefix="0" xfId="1">
      <alignment horizontal="right"/>
    </xf>
    <xf numFmtId="0" fontId="6" fillId="0" borderId="0" applyAlignment="1" pivotButton="0" quotePrefix="0" xfId="0">
      <alignment horizontal="center"/>
    </xf>
    <xf numFmtId="43" fontId="5" fillId="0" borderId="1" applyAlignment="1" pivotButton="0" quotePrefix="0" xfId="1">
      <alignment horizontal="right"/>
    </xf>
    <xf numFmtId="0" fontId="0" fillId="0" borderId="3" pivotButton="0" quotePrefix="0" xfId="0"/>
  </cellXfs>
  <cellStyles count="2">
    <cellStyle name="Normal" xfId="0" builtinId="0"/>
    <cellStyle name="Comma" xfId="1" builtinId="3"/>
  </cellStyles>
  <dxfs count="21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5" formatCode="_(* #,##0.00_);_(* \(#,##0.00\);_(* &quot;-&quot;??_);_(@_)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5" formatCode="_(* #,##0.00_);_(* \(#,##0.00\);_(* &quot;-&quot;??_);_(@_)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5" formatCode="_(* #,##0.00_);_(* \(#,##0.00\);_(* &quot;-&quot;??_);_(@_)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1" displayName="Table1" ref="A3:J183" headerRowCount="1" totalsRowCount="1" dataDxfId="20">
  <autoFilter ref="A3:J182"/>
  <tableColumns count="10">
    <tableColumn id="1" name="No" dataDxfId="19" totalsRowDxfId="9"/>
    <tableColumn id="2" name="Institute" dataDxfId="18" totalsRowDxfId="8"/>
    <tableColumn id="4" name="Payments closing date" dataDxfId="17" totalsRowDxfId="7"/>
    <tableColumn id="3" name="Applications Closing Date" dataDxfId="16" totalsRowDxfId="6"/>
    <tableColumn id="10" name="Application Mode" dataDxfId="10" totalsRowDxfId="5"/>
    <tableColumn id="6" name="Method of payment" dataDxfId="15" totalsRowDxfId="4"/>
    <tableColumn id="7" name="Registration Fee" totalsRowFunction="custom" dataDxfId="14" totalsRowDxfId="3" dataCellStyle="Comma">
      <totalsRowFormula>'Settlement 02'!J11</totalsRowFormula>
    </tableColumn>
    <tableColumn id="5" name="Other Chargers" dataDxfId="13" totalsRowDxfId="2" dataCellStyle="Comma"/>
    <tableColumn id="9" name="Application sent Date" dataDxfId="12" totalsRowDxfId="1" dataCellStyle="Comma"/>
    <tableColumn id="8" name="Remarks" dataDxfId="11" totalsRow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O193"/>
  <sheetViews>
    <sheetView tabSelected="1" zoomScale="85" zoomScaleNormal="100" workbookViewId="0">
      <selection activeCell="E6" sqref="E6"/>
    </sheetView>
  </sheetViews>
  <sheetFormatPr baseColWidth="8" defaultRowHeight="14.5"/>
  <cols>
    <col width="7.6328125" customWidth="1" min="1" max="1"/>
    <col width="33" customWidth="1" min="2" max="3"/>
    <col width="25" customWidth="1" min="4" max="5"/>
    <col width="17.81640625" customWidth="1" min="6" max="6"/>
    <col width="17.26953125" customWidth="1" style="1" min="7" max="8"/>
    <col width="22.36328125" customWidth="1" style="1" min="9" max="9"/>
    <col width="33.90625" customWidth="1" min="10" max="10"/>
    <col width="21.26953125" customWidth="1" min="12" max="12"/>
    <col hidden="1" min="13" max="13"/>
    <col hidden="1" width="17" customWidth="1" min="14" max="14"/>
    <col width="19.453125" customWidth="1" min="15" max="15"/>
    <col width="27.1796875" customWidth="1" min="16" max="16"/>
    <col width="8.7265625" customWidth="1" min="17" max="17"/>
  </cols>
  <sheetData>
    <row r="3">
      <c r="A3" t="inlineStr">
        <is>
          <t>No</t>
        </is>
      </c>
      <c r="B3" t="inlineStr">
        <is>
          <t>Institute</t>
        </is>
      </c>
      <c r="C3" t="inlineStr">
        <is>
          <t>Payments closing date</t>
        </is>
      </c>
      <c r="D3" t="inlineStr">
        <is>
          <t>Applications Closing Date</t>
        </is>
      </c>
      <c r="E3" t="inlineStr">
        <is>
          <t>Application Mode</t>
        </is>
      </c>
      <c r="F3" t="inlineStr">
        <is>
          <t>Method of payment</t>
        </is>
      </c>
      <c r="G3" s="1" t="inlineStr">
        <is>
          <t>Registration Fee</t>
        </is>
      </c>
      <c r="H3" s="1" t="inlineStr">
        <is>
          <t>Other Chargers</t>
        </is>
      </c>
      <c r="I3" s="1" t="inlineStr">
        <is>
          <t>Application sent Date</t>
        </is>
      </c>
      <c r="J3" t="inlineStr">
        <is>
          <t>Remarks</t>
        </is>
      </c>
      <c r="O3" t="inlineStr">
        <is>
          <t>Payments</t>
        </is>
      </c>
    </row>
    <row r="4">
      <c r="A4" s="2" t="n">
        <v>1</v>
      </c>
      <c r="B4" s="2" t="inlineStr">
        <is>
          <t>CNTH Ragama</t>
        </is>
      </c>
      <c r="C4" s="2" t="inlineStr">
        <is>
          <t>22.10.2026</t>
        </is>
      </c>
      <c r="D4" s="2" t="inlineStr">
        <is>
          <t>23.10.2026</t>
        </is>
      </c>
      <c r="E4" s="2" t="inlineStr">
        <is>
          <t>Self</t>
        </is>
      </c>
      <c r="F4" s="2" t="inlineStr">
        <is>
          <t>Shroff</t>
        </is>
      </c>
      <c r="G4" s="3">
        <f>8*1000</f>
        <v/>
      </c>
      <c r="H4" s="3" t="n"/>
      <c r="I4" s="3" t="n"/>
      <c r="J4" s="2" t="n"/>
      <c r="L4" s="6" t="inlineStr">
        <is>
          <t>Applications</t>
        </is>
      </c>
      <c r="M4" s="2" t="n"/>
      <c r="N4" s="2" t="n"/>
      <c r="O4" s="27">
        <f>SUM(G4:G90)</f>
        <v/>
      </c>
    </row>
    <row r="5">
      <c r="A5" s="2" t="n">
        <v>2</v>
      </c>
      <c r="B5" s="2" t="inlineStr">
        <is>
          <t>NH Kandy</t>
        </is>
      </c>
      <c r="C5" s="2" t="n"/>
      <c r="D5" s="2" t="inlineStr">
        <is>
          <t>20.11.2026</t>
        </is>
      </c>
      <c r="E5" s="2" t="inlineStr">
        <is>
          <t>Hospital</t>
        </is>
      </c>
      <c r="F5" s="2" t="inlineStr">
        <is>
          <t>BOC</t>
        </is>
      </c>
      <c r="G5" s="3">
        <f>5*2000</f>
        <v/>
      </c>
      <c r="H5" s="3" t="n"/>
      <c r="I5" s="3" t="n"/>
      <c r="J5" s="2" t="n"/>
      <c r="L5" s="6" t="inlineStr">
        <is>
          <t>Register post</t>
        </is>
      </c>
      <c r="M5" s="2" t="n"/>
      <c r="N5" s="2" t="n"/>
      <c r="O5" s="27">
        <f>SUM(H4:H80)</f>
        <v/>
      </c>
    </row>
    <row r="6">
      <c r="A6" s="2" t="n">
        <v>3</v>
      </c>
      <c r="B6" s="2" t="inlineStr">
        <is>
          <t>NHRD Welisara</t>
        </is>
      </c>
      <c r="C6" s="2" t="n"/>
      <c r="D6" s="2" t="inlineStr">
        <is>
          <t>26.11.2026</t>
        </is>
      </c>
      <c r="E6" s="2" t="n"/>
      <c r="F6" s="2" t="inlineStr">
        <is>
          <t>Money Order</t>
        </is>
      </c>
      <c r="G6" s="3">
        <f>750*5</f>
        <v/>
      </c>
      <c r="H6" s="3" t="n"/>
      <c r="I6" s="3" t="n"/>
      <c r="J6" s="2" t="n"/>
      <c r="L6" s="2" t="n"/>
      <c r="M6" s="2" t="n"/>
      <c r="N6" s="2" t="n"/>
      <c r="O6" s="27">
        <f>SUM(O4:O5)</f>
        <v/>
      </c>
    </row>
    <row r="7">
      <c r="A7" s="2" t="n">
        <v>4</v>
      </c>
      <c r="B7" s="2" t="inlineStr">
        <is>
          <t>General Hospital Ampara</t>
        </is>
      </c>
      <c r="C7" s="2" t="inlineStr">
        <is>
          <t>02.11.2026</t>
        </is>
      </c>
      <c r="D7" s="2" t="inlineStr">
        <is>
          <t>02.11.2026</t>
        </is>
      </c>
      <c r="E7" s="2" t="inlineStr">
        <is>
          <t>Hospital</t>
        </is>
      </c>
      <c r="F7" s="2" t="inlineStr">
        <is>
          <t>Shroff</t>
        </is>
      </c>
      <c r="G7" s="3" t="n">
        <v>5000</v>
      </c>
      <c r="H7" s="3" t="n"/>
      <c r="I7" s="3" t="inlineStr"/>
      <c r="J7" s="2" t="inlineStr"/>
    </row>
    <row r="8">
      <c r="A8" s="2" t="n"/>
      <c r="B8" s="2" t="n"/>
      <c r="C8" s="2" t="n"/>
      <c r="D8" s="2" t="n"/>
      <c r="E8" s="2" t="n"/>
      <c r="F8" s="2" t="n"/>
      <c r="G8" s="3" t="n"/>
      <c r="H8" s="3" t="n"/>
      <c r="I8" s="3" t="n"/>
      <c r="J8" s="2" t="n"/>
      <c r="L8" s="5" t="inlineStr">
        <is>
          <t>Balance</t>
        </is>
      </c>
      <c r="O8" s="4">
        <f>150000-O6</f>
        <v/>
      </c>
    </row>
    <row r="9">
      <c r="A9" s="2" t="n"/>
      <c r="B9" s="2" t="n"/>
      <c r="C9" s="2" t="n"/>
      <c r="D9" s="2" t="n"/>
      <c r="E9" s="2" t="n"/>
      <c r="F9" s="2" t="n"/>
      <c r="G9" s="3" t="n"/>
      <c r="H9" s="3" t="n"/>
      <c r="I9" s="3" t="n"/>
      <c r="J9" s="2" t="n"/>
      <c r="M9" t="n">
        <v>3</v>
      </c>
      <c r="N9" s="1">
        <f>1500*20</f>
        <v/>
      </c>
    </row>
    <row r="10">
      <c r="A10" s="2" t="n"/>
      <c r="B10" s="2" t="n"/>
      <c r="C10" s="2" t="n"/>
      <c r="D10" s="2" t="n"/>
      <c r="E10" s="2" t="n"/>
      <c r="F10" s="2" t="n"/>
      <c r="G10" s="3" t="n"/>
      <c r="H10" s="3" t="n"/>
      <c r="I10" s="3" t="n"/>
      <c r="J10" s="2" t="n"/>
      <c r="M10" t="n">
        <v>5</v>
      </c>
    </row>
    <row r="11">
      <c r="A11" s="2" t="n"/>
      <c r="B11" s="2" t="n"/>
      <c r="C11" s="2" t="n"/>
      <c r="D11" s="2" t="n"/>
      <c r="E11" s="2" t="n"/>
      <c r="F11" s="2" t="n"/>
      <c r="G11" s="3" t="n"/>
      <c r="H11" s="3" t="n"/>
      <c r="I11" s="3" t="n"/>
      <c r="J11" s="2" t="n"/>
      <c r="M11" t="n">
        <v>6</v>
      </c>
    </row>
    <row r="12">
      <c r="A12" s="2" t="n"/>
      <c r="B12" s="2" t="n"/>
      <c r="C12" s="2" t="n"/>
      <c r="D12" s="2" t="n"/>
      <c r="E12" s="2" t="n"/>
      <c r="F12" s="2" t="n"/>
      <c r="G12" s="3" t="n"/>
      <c r="H12" s="3" t="n"/>
      <c r="I12" s="3" t="n"/>
      <c r="J12" s="2" t="n"/>
    </row>
    <row r="13">
      <c r="A13" s="2" t="n"/>
      <c r="B13" s="2" t="n"/>
      <c r="C13" s="2" t="n"/>
      <c r="D13" s="2" t="n"/>
      <c r="E13" s="2" t="n"/>
      <c r="F13" s="2" t="n"/>
      <c r="G13" s="3" t="n"/>
      <c r="H13" s="3" t="n"/>
      <c r="I13" s="3" t="n"/>
      <c r="J13" s="2" t="n"/>
    </row>
    <row r="14">
      <c r="A14" s="2" t="n"/>
      <c r="B14" s="2" t="n"/>
      <c r="C14" s="2" t="n"/>
      <c r="D14" s="2" t="n"/>
      <c r="E14" s="2" t="n"/>
      <c r="F14" s="2" t="n"/>
      <c r="G14" s="3" t="n"/>
      <c r="H14" s="3" t="n"/>
      <c r="I14" s="3" t="n"/>
      <c r="J14" s="2" t="n"/>
    </row>
    <row r="15">
      <c r="A15" s="2" t="n"/>
      <c r="B15" s="2" t="n"/>
      <c r="C15" s="2" t="n"/>
      <c r="D15" s="2" t="n"/>
      <c r="E15" s="2" t="n"/>
      <c r="F15" s="2" t="n"/>
      <c r="G15" s="3" t="n"/>
      <c r="H15" s="3" t="n"/>
      <c r="I15" s="3" t="n"/>
      <c r="J15" s="2" t="n"/>
    </row>
    <row r="16">
      <c r="A16" s="2" t="n"/>
      <c r="B16" s="2" t="n"/>
      <c r="C16" s="2" t="n"/>
      <c r="D16" s="2" t="n"/>
      <c r="E16" s="2" t="n"/>
      <c r="F16" s="2" t="n"/>
      <c r="G16" s="3" t="n"/>
      <c r="H16" s="3" t="n"/>
      <c r="I16" s="3" t="n"/>
      <c r="J16" s="2" t="n"/>
      <c r="M16" t="n">
        <v>8</v>
      </c>
    </row>
    <row r="17">
      <c r="A17" s="2" t="n"/>
      <c r="B17" s="2" t="n"/>
      <c r="C17" s="2" t="n"/>
      <c r="D17" s="2" t="n"/>
      <c r="E17" s="2" t="n"/>
      <c r="F17" s="2" t="n"/>
      <c r="G17" s="3" t="n"/>
      <c r="H17" s="3" t="n"/>
      <c r="I17" s="3" t="n"/>
      <c r="J17" s="2" t="n"/>
      <c r="M17" t="n">
        <v>9</v>
      </c>
    </row>
    <row r="18">
      <c r="A18" s="2" t="n"/>
      <c r="B18" s="2" t="n"/>
      <c r="C18" s="2" t="n"/>
      <c r="D18" s="2" t="n"/>
      <c r="E18" s="2" t="n"/>
      <c r="F18" s="2" t="n"/>
      <c r="G18" s="3" t="n"/>
      <c r="H18" s="3" t="n"/>
      <c r="I18" s="3" t="n"/>
      <c r="J18" s="2" t="n"/>
    </row>
    <row r="19">
      <c r="A19" s="2" t="n"/>
      <c r="B19" s="2" t="n"/>
      <c r="C19" s="2" t="n"/>
      <c r="D19" s="2" t="n"/>
      <c r="E19" s="2" t="n"/>
      <c r="F19" s="2" t="n"/>
      <c r="G19" s="3" t="n"/>
      <c r="H19" s="3" t="n"/>
      <c r="I19" s="3" t="n"/>
      <c r="J19" s="2" t="n"/>
      <c r="M19" t="n">
        <v>10</v>
      </c>
    </row>
    <row r="20">
      <c r="A20" s="2" t="n"/>
      <c r="B20" s="2" t="n"/>
      <c r="C20" s="2" t="n"/>
      <c r="D20" s="2" t="n"/>
      <c r="E20" s="2" t="n"/>
      <c r="F20" s="2" t="n"/>
      <c r="G20" s="3" t="n"/>
      <c r="H20" s="3" t="n"/>
      <c r="I20" s="3" t="n"/>
      <c r="J20" s="2" t="n"/>
    </row>
    <row r="21">
      <c r="A21" s="2" t="n"/>
      <c r="B21" s="2" t="n"/>
      <c r="C21" s="2" t="n"/>
      <c r="D21" s="2" t="n"/>
      <c r="E21" s="2" t="n"/>
      <c r="F21" s="2" t="n"/>
      <c r="G21" s="3" t="n"/>
      <c r="H21" s="3" t="n"/>
      <c r="I21" s="3" t="n"/>
      <c r="J21" s="2" t="n"/>
    </row>
    <row r="22">
      <c r="A22" s="2" t="n"/>
      <c r="B22" s="2" t="n"/>
      <c r="C22" s="2" t="n"/>
      <c r="D22" s="2" t="n"/>
      <c r="E22" s="2" t="n"/>
      <c r="F22" s="2" t="n"/>
      <c r="G22" s="3" t="n"/>
      <c r="H22" s="3" t="n"/>
      <c r="I22" s="3" t="n"/>
      <c r="J22" s="2" t="n"/>
    </row>
    <row r="23">
      <c r="A23" s="2" t="n"/>
      <c r="B23" s="2" t="n"/>
      <c r="C23" s="2" t="n"/>
      <c r="D23" s="2" t="n"/>
      <c r="E23" s="2" t="n"/>
      <c r="F23" s="2" t="n"/>
      <c r="G23" s="3" t="n"/>
      <c r="H23" s="3" t="n"/>
      <c r="I23" s="3" t="n"/>
      <c r="J23" s="2" t="n"/>
    </row>
    <row r="24">
      <c r="A24" s="2" t="n"/>
      <c r="B24" s="2" t="n"/>
      <c r="C24" s="2" t="n"/>
      <c r="D24" s="2" t="n"/>
      <c r="E24" s="2" t="n"/>
      <c r="F24" s="2" t="n"/>
      <c r="G24" s="3" t="n"/>
      <c r="H24" s="3" t="n"/>
      <c r="I24" s="3" t="n"/>
      <c r="J24" s="2" t="n"/>
    </row>
    <row r="25">
      <c r="A25" s="2" t="n"/>
      <c r="B25" s="2" t="n"/>
      <c r="C25" s="2" t="n"/>
      <c r="D25" s="2" t="n"/>
      <c r="E25" s="2" t="n"/>
      <c r="F25" s="2" t="n"/>
      <c r="G25" s="3" t="n"/>
      <c r="H25" s="3" t="n"/>
      <c r="I25" s="3" t="n"/>
      <c r="J25" s="2" t="n"/>
    </row>
    <row r="26">
      <c r="A26" s="2" t="n"/>
      <c r="B26" s="2" t="n"/>
      <c r="C26" s="2" t="n"/>
      <c r="D26" s="2" t="n"/>
      <c r="E26" s="2" t="n"/>
      <c r="F26" s="2" t="n"/>
      <c r="G26" s="3" t="n"/>
      <c r="H26" s="3" t="n"/>
      <c r="I26" s="3" t="n"/>
      <c r="J26" s="2" t="n"/>
    </row>
    <row r="27">
      <c r="A27" s="2" t="n"/>
      <c r="B27" s="2" t="n"/>
      <c r="C27" s="2" t="n"/>
      <c r="D27" s="2" t="n"/>
      <c r="E27" s="2" t="n"/>
      <c r="F27" s="2" t="n"/>
      <c r="G27" s="3" t="n"/>
      <c r="H27" s="3" t="n"/>
      <c r="I27" s="3" t="n"/>
      <c r="J27" s="2" t="n"/>
    </row>
    <row r="28">
      <c r="A28" s="2" t="n"/>
      <c r="B28" s="2" t="n"/>
      <c r="C28" s="2" t="n"/>
      <c r="D28" s="2" t="n"/>
      <c r="E28" s="2" t="n"/>
      <c r="F28" s="2" t="n"/>
      <c r="G28" s="3" t="n"/>
      <c r="H28" s="3" t="n"/>
      <c r="I28" s="3" t="n"/>
      <c r="J28" s="2" t="n"/>
    </row>
    <row r="29">
      <c r="A29" s="2" t="n"/>
      <c r="B29" s="2" t="n"/>
      <c r="C29" s="2" t="n"/>
      <c r="D29" s="2" t="n"/>
      <c r="E29" s="2" t="n"/>
      <c r="F29" s="2" t="n"/>
      <c r="G29" s="3" t="n"/>
      <c r="H29" s="3" t="n"/>
      <c r="I29" s="3" t="n"/>
      <c r="J29" s="2" t="n"/>
      <c r="M29" t="n">
        <v>12</v>
      </c>
    </row>
    <row r="30">
      <c r="A30" s="2" t="n"/>
      <c r="B30" s="2" t="n"/>
      <c r="C30" s="2" t="n"/>
      <c r="D30" s="2" t="n"/>
      <c r="E30" s="2" t="n"/>
      <c r="F30" s="2" t="n"/>
      <c r="G30" s="3" t="n"/>
      <c r="H30" s="3" t="n"/>
      <c r="I30" s="3" t="n"/>
      <c r="J30" s="2" t="n"/>
      <c r="M30" t="n">
        <v>13</v>
      </c>
    </row>
    <row r="31">
      <c r="A31" s="2" t="n"/>
      <c r="B31" s="2" t="n"/>
      <c r="C31" s="2" t="n"/>
      <c r="D31" s="2" t="n"/>
      <c r="E31" s="2" t="n"/>
      <c r="F31" s="2" t="n"/>
      <c r="G31" s="3" t="n"/>
      <c r="H31" s="3" t="n"/>
      <c r="I31" s="3" t="n"/>
      <c r="J31" s="2" t="n"/>
    </row>
    <row r="32">
      <c r="A32" s="2" t="n"/>
      <c r="B32" s="2" t="n"/>
      <c r="C32" s="2" t="n"/>
      <c r="D32" s="2" t="n"/>
      <c r="E32" s="2" t="n"/>
      <c r="F32" s="2" t="n"/>
      <c r="G32" s="3" t="n"/>
      <c r="H32" s="3" t="n"/>
      <c r="I32" s="3" t="n"/>
      <c r="J32" s="2" t="n"/>
    </row>
    <row r="33">
      <c r="A33" s="2" t="n"/>
      <c r="B33" s="2" t="n"/>
      <c r="C33" s="2" t="n"/>
      <c r="D33" s="2" t="n"/>
      <c r="E33" s="2" t="n"/>
      <c r="F33" s="2" t="n"/>
      <c r="G33" s="3" t="n"/>
      <c r="H33" s="3" t="n"/>
      <c r="I33" s="3" t="n"/>
      <c r="J33" s="2" t="n"/>
    </row>
    <row r="34">
      <c r="A34" s="2" t="n"/>
      <c r="B34" s="2" t="n"/>
      <c r="C34" s="2" t="n"/>
      <c r="D34" s="2" t="n"/>
      <c r="E34" s="2" t="n"/>
      <c r="F34" s="2" t="n"/>
      <c r="G34" s="3" t="n"/>
      <c r="H34" s="3" t="n"/>
      <c r="I34" s="3" t="n"/>
      <c r="J34" s="2" t="n"/>
    </row>
    <row r="35">
      <c r="A35" s="2" t="n"/>
      <c r="B35" s="2" t="n"/>
      <c r="C35" s="2" t="n"/>
      <c r="D35" s="2" t="n"/>
      <c r="E35" s="2" t="n"/>
      <c r="F35" s="2" t="n"/>
      <c r="G35" s="3" t="n"/>
      <c r="H35" s="3" t="n"/>
      <c r="I35" s="3" t="n"/>
      <c r="J35" s="2" t="n"/>
    </row>
    <row r="36">
      <c r="A36" s="2" t="n"/>
      <c r="B36" s="2" t="n"/>
      <c r="C36" s="2" t="n"/>
      <c r="D36" s="2" t="n"/>
      <c r="E36" s="2" t="n"/>
      <c r="F36" s="2" t="n"/>
      <c r="G36" s="3" t="n"/>
      <c r="H36" s="3" t="n"/>
      <c r="I36" s="3" t="n"/>
      <c r="J36" s="2" t="n"/>
    </row>
    <row r="37">
      <c r="A37" s="2" t="n"/>
      <c r="B37" s="2" t="n"/>
      <c r="C37" s="2" t="n"/>
      <c r="D37" s="2" t="n"/>
      <c r="E37" s="2" t="n"/>
      <c r="F37" s="2" t="n"/>
      <c r="G37" s="3" t="n"/>
      <c r="H37" s="3" t="n"/>
      <c r="I37" s="3" t="n"/>
      <c r="J37" s="2" t="n"/>
    </row>
    <row r="38">
      <c r="A38" s="2" t="n"/>
      <c r="B38" s="2" t="n"/>
      <c r="C38" s="2" t="n"/>
      <c r="D38" s="2" t="n"/>
      <c r="E38" s="2" t="n"/>
      <c r="F38" s="2" t="n"/>
      <c r="G38" s="3" t="n"/>
      <c r="H38" s="3" t="n"/>
      <c r="I38" s="3" t="n"/>
      <c r="J38" s="2" t="n"/>
    </row>
    <row r="39">
      <c r="A39" s="2" t="n"/>
      <c r="B39" s="2" t="n"/>
      <c r="C39" s="2" t="n"/>
      <c r="D39" s="2" t="n"/>
      <c r="E39" s="2" t="n"/>
      <c r="F39" s="2" t="n"/>
      <c r="G39" s="3" t="n"/>
      <c r="H39" s="3" t="n"/>
      <c r="I39" s="3" t="n"/>
      <c r="J39" s="2" t="n"/>
    </row>
    <row r="40">
      <c r="A40" s="2" t="n"/>
      <c r="B40" s="2" t="n"/>
      <c r="C40" s="2" t="n"/>
      <c r="D40" s="2" t="n"/>
      <c r="E40" s="2" t="n"/>
      <c r="F40" s="2" t="n"/>
      <c r="G40" s="3" t="n"/>
      <c r="H40" s="3" t="n"/>
      <c r="I40" s="3" t="n"/>
      <c r="J40" s="2" t="n"/>
    </row>
    <row r="41">
      <c r="A41" s="2" t="n"/>
      <c r="B41" s="2" t="n"/>
      <c r="C41" s="2" t="n"/>
      <c r="D41" s="2" t="n"/>
      <c r="E41" s="2" t="n"/>
      <c r="F41" s="2" t="n"/>
      <c r="G41" s="3" t="n"/>
      <c r="H41" s="3" t="n"/>
      <c r="I41" s="3" t="n"/>
      <c r="J41" s="2" t="n"/>
    </row>
    <row r="42">
      <c r="A42" s="2" t="n"/>
      <c r="B42" s="2" t="n"/>
      <c r="C42" s="2" t="n"/>
      <c r="D42" s="2" t="n"/>
      <c r="E42" s="2" t="n"/>
      <c r="F42" s="2" t="n"/>
      <c r="G42" s="3" t="n"/>
      <c r="H42" s="3" t="n"/>
      <c r="I42" s="3" t="n"/>
      <c r="J42" s="2" t="n"/>
    </row>
    <row r="43">
      <c r="A43" s="2" t="n"/>
      <c r="B43" s="2" t="n"/>
      <c r="C43" s="2" t="n"/>
      <c r="D43" s="2" t="n"/>
      <c r="E43" s="2" t="n"/>
      <c r="F43" s="2" t="n"/>
      <c r="G43" s="3" t="n"/>
      <c r="H43" s="3" t="n"/>
      <c r="I43" s="3" t="n"/>
      <c r="J43" s="2" t="n"/>
    </row>
    <row r="44">
      <c r="A44" s="2" t="n"/>
      <c r="B44" s="2" t="n"/>
      <c r="C44" s="2" t="n"/>
      <c r="D44" s="2" t="n"/>
      <c r="E44" s="2" t="n"/>
      <c r="F44" s="2" t="n"/>
      <c r="G44" s="3" t="n"/>
      <c r="H44" s="3" t="n"/>
      <c r="I44" s="3" t="n"/>
      <c r="J44" s="2" t="n"/>
    </row>
    <row r="45">
      <c r="A45" s="2" t="n"/>
      <c r="B45" s="2" t="n"/>
      <c r="C45" s="2" t="n"/>
      <c r="D45" s="2" t="n"/>
      <c r="E45" s="2" t="n"/>
      <c r="F45" s="2" t="n"/>
      <c r="G45" s="3" t="n"/>
      <c r="H45" s="3" t="n"/>
      <c r="I45" s="3" t="n"/>
      <c r="J45" s="2" t="n"/>
    </row>
    <row r="46">
      <c r="A46" s="2" t="n"/>
      <c r="B46" s="2" t="n"/>
      <c r="C46" s="2" t="n"/>
      <c r="D46" s="2" t="n"/>
      <c r="E46" s="2" t="n"/>
      <c r="F46" s="2" t="n"/>
      <c r="G46" s="3" t="n"/>
      <c r="H46" s="3" t="n"/>
      <c r="I46" s="3" t="n"/>
      <c r="J46" s="2" t="n"/>
    </row>
    <row r="47">
      <c r="A47" s="2" t="n"/>
      <c r="B47" s="2" t="n"/>
      <c r="C47" s="2" t="n"/>
      <c r="D47" s="2" t="n"/>
      <c r="E47" s="2" t="n"/>
      <c r="F47" s="2" t="n"/>
      <c r="G47" s="3" t="n"/>
      <c r="H47" s="3" t="n"/>
      <c r="I47" s="3" t="n"/>
      <c r="J47" s="2" t="n"/>
    </row>
    <row r="48">
      <c r="A48" s="2" t="n"/>
      <c r="B48" s="2" t="n"/>
      <c r="C48" s="2" t="n"/>
      <c r="D48" s="2" t="n"/>
      <c r="E48" s="2" t="n"/>
      <c r="F48" s="2" t="n"/>
      <c r="G48" s="3" t="n"/>
      <c r="H48" s="3" t="n"/>
      <c r="I48" s="3" t="n"/>
      <c r="J48" s="2" t="n"/>
    </row>
    <row r="49">
      <c r="A49" s="2" t="n"/>
      <c r="B49" s="2" t="n"/>
      <c r="C49" s="2" t="n"/>
      <c r="D49" s="2" t="n"/>
      <c r="E49" s="2" t="n"/>
      <c r="F49" s="2" t="n"/>
      <c r="G49" s="3" t="n"/>
      <c r="H49" s="3" t="n"/>
      <c r="I49" s="3" t="n"/>
      <c r="J49" s="2" t="n"/>
    </row>
    <row r="50">
      <c r="A50" s="2" t="n"/>
      <c r="B50" s="2" t="n"/>
      <c r="C50" s="2" t="n"/>
      <c r="D50" s="2" t="n"/>
      <c r="E50" s="2" t="n"/>
      <c r="F50" s="2" t="n"/>
      <c r="G50" s="3" t="n"/>
      <c r="H50" s="3" t="n"/>
      <c r="I50" s="3" t="n"/>
      <c r="J50" s="2" t="n"/>
    </row>
    <row r="51">
      <c r="A51" s="2" t="n"/>
      <c r="B51" s="2" t="n"/>
      <c r="C51" s="2" t="n"/>
      <c r="D51" s="2" t="n"/>
      <c r="E51" s="2" t="n"/>
      <c r="F51" s="2" t="n"/>
      <c r="G51" s="3" t="n"/>
      <c r="H51" s="3" t="n"/>
      <c r="I51" s="3" t="n"/>
      <c r="J51" s="2" t="n"/>
    </row>
    <row r="52">
      <c r="A52" s="2" t="n"/>
      <c r="B52" s="2" t="n"/>
      <c r="C52" s="2" t="n"/>
      <c r="D52" s="2" t="n"/>
      <c r="E52" s="2" t="n"/>
      <c r="F52" s="2" t="n"/>
      <c r="G52" s="3" t="n"/>
      <c r="H52" s="3" t="n"/>
      <c r="I52" s="3" t="n"/>
      <c r="J52" s="2" t="n"/>
    </row>
    <row r="53">
      <c r="A53" s="2" t="n"/>
      <c r="B53" s="2" t="n"/>
      <c r="C53" s="2" t="n"/>
      <c r="D53" s="2" t="n"/>
      <c r="E53" s="2" t="n"/>
      <c r="F53" s="2" t="n"/>
      <c r="G53" s="3" t="n"/>
      <c r="H53" s="3" t="n"/>
      <c r="I53" s="3" t="n"/>
      <c r="J53" s="2" t="n"/>
    </row>
    <row r="54">
      <c r="A54" s="2" t="n"/>
      <c r="B54" s="2" t="n"/>
      <c r="C54" s="2" t="n"/>
      <c r="D54" s="2" t="n"/>
      <c r="E54" s="2" t="n"/>
      <c r="F54" s="2" t="n"/>
      <c r="G54" s="3" t="n"/>
      <c r="H54" s="3" t="n"/>
      <c r="I54" s="3" t="n"/>
      <c r="J54" s="2" t="n"/>
    </row>
    <row r="55">
      <c r="A55" s="2" t="n"/>
      <c r="B55" s="2" t="n"/>
      <c r="C55" s="2" t="n"/>
      <c r="D55" s="2" t="n"/>
      <c r="E55" s="2" t="n"/>
      <c r="F55" s="2" t="n"/>
      <c r="G55" s="3" t="n"/>
      <c r="H55" s="3" t="n"/>
      <c r="I55" s="3" t="n"/>
      <c r="J55" s="2" t="n"/>
    </row>
    <row r="56">
      <c r="A56" s="2" t="n"/>
      <c r="B56" s="2" t="n"/>
      <c r="C56" s="2" t="n"/>
      <c r="D56" s="2" t="n"/>
      <c r="E56" s="2" t="n"/>
      <c r="F56" s="2" t="n"/>
      <c r="G56" s="3" t="n"/>
      <c r="H56" s="3" t="n"/>
      <c r="I56" s="3" t="n"/>
      <c r="J56" s="2" t="n"/>
    </row>
    <row r="57">
      <c r="A57" s="2" t="n"/>
      <c r="B57" s="2" t="n"/>
      <c r="C57" s="2" t="n"/>
      <c r="D57" s="2" t="n"/>
      <c r="E57" s="2" t="n"/>
      <c r="F57" s="2" t="n"/>
      <c r="G57" s="3" t="n"/>
      <c r="H57" s="3" t="n"/>
      <c r="I57" s="3" t="n"/>
      <c r="J57" s="2" t="n"/>
    </row>
    <row r="58">
      <c r="A58" s="2" t="n"/>
      <c r="B58" s="2" t="n"/>
      <c r="C58" s="2" t="n"/>
      <c r="D58" s="2" t="n"/>
      <c r="E58" s="2" t="n"/>
      <c r="F58" s="2" t="n"/>
      <c r="G58" s="3" t="n"/>
      <c r="H58" s="3" t="n"/>
      <c r="I58" s="3" t="n"/>
      <c r="J58" s="2" t="n"/>
    </row>
    <row r="59">
      <c r="A59" s="2" t="n"/>
      <c r="B59" s="2" t="n"/>
      <c r="C59" s="2" t="n"/>
      <c r="D59" s="2" t="n"/>
      <c r="E59" s="2" t="n"/>
      <c r="F59" s="2" t="n"/>
      <c r="G59" s="3" t="n"/>
      <c r="H59" s="3" t="n"/>
      <c r="I59" s="3" t="n"/>
      <c r="J59" s="2" t="n"/>
    </row>
    <row r="60">
      <c r="A60" s="2" t="n"/>
      <c r="B60" s="2" t="n"/>
      <c r="C60" s="2" t="n"/>
      <c r="D60" s="2" t="n"/>
      <c r="E60" s="2" t="n"/>
      <c r="F60" s="2" t="n"/>
      <c r="G60" s="3" t="n"/>
      <c r="H60" s="3" t="n"/>
      <c r="I60" s="3" t="n"/>
      <c r="J60" s="2" t="n"/>
    </row>
    <row r="61">
      <c r="A61" s="2" t="n"/>
      <c r="B61" s="2" t="n"/>
      <c r="C61" s="2" t="n"/>
      <c r="D61" s="2" t="n"/>
      <c r="E61" s="2" t="n"/>
      <c r="F61" s="2" t="n"/>
      <c r="G61" s="3" t="n"/>
      <c r="H61" s="3" t="n"/>
      <c r="I61" s="3" t="n"/>
      <c r="J61" s="2" t="n"/>
    </row>
    <row r="62">
      <c r="A62" s="2" t="n"/>
      <c r="B62" s="2" t="n"/>
      <c r="C62" s="2" t="n"/>
      <c r="D62" s="2" t="n"/>
      <c r="E62" s="2" t="n"/>
      <c r="F62" s="2" t="n"/>
      <c r="G62" s="3" t="n"/>
      <c r="H62" s="3" t="n"/>
      <c r="I62" s="3" t="n"/>
      <c r="J62" s="2" t="n"/>
    </row>
    <row r="63">
      <c r="A63" s="2" t="n"/>
      <c r="B63" s="2" t="n"/>
      <c r="C63" s="2" t="n"/>
      <c r="D63" s="2" t="n"/>
      <c r="E63" s="2" t="n"/>
      <c r="F63" s="2" t="n"/>
      <c r="G63" s="3" t="n"/>
      <c r="H63" s="3" t="n"/>
      <c r="I63" s="3" t="n"/>
      <c r="J63" s="2" t="n"/>
    </row>
    <row r="64">
      <c r="A64" s="2" t="n"/>
      <c r="B64" s="2" t="n"/>
      <c r="C64" s="2" t="n"/>
      <c r="D64" s="2" t="n"/>
      <c r="E64" s="2" t="n"/>
      <c r="F64" s="2" t="n"/>
      <c r="G64" s="3" t="n"/>
      <c r="H64" s="3" t="n"/>
      <c r="I64" s="3" t="n"/>
      <c r="J64" s="2" t="n"/>
    </row>
    <row r="65">
      <c r="A65" s="2" t="n"/>
      <c r="B65" s="2" t="n"/>
      <c r="C65" s="2" t="n"/>
      <c r="D65" s="2" t="n"/>
      <c r="E65" s="2" t="n"/>
      <c r="F65" s="2" t="n"/>
      <c r="G65" s="3" t="n"/>
      <c r="H65" s="3" t="n"/>
      <c r="I65" s="3" t="n"/>
      <c r="J65" s="2" t="n"/>
    </row>
    <row r="66">
      <c r="A66" s="2" t="n"/>
      <c r="B66" s="2" t="n"/>
      <c r="C66" s="2" t="n"/>
      <c r="D66" s="2" t="n"/>
      <c r="E66" s="2" t="n"/>
      <c r="F66" s="2" t="n"/>
      <c r="G66" s="3" t="n"/>
      <c r="H66" s="3" t="n"/>
      <c r="I66" s="3" t="n"/>
      <c r="J66" s="2" t="n"/>
    </row>
    <row r="67">
      <c r="A67" s="2" t="n"/>
      <c r="B67" s="2" t="n"/>
      <c r="C67" s="2" t="n"/>
      <c r="D67" s="2" t="n"/>
      <c r="E67" s="2" t="n"/>
      <c r="F67" s="2" t="n"/>
      <c r="G67" s="3" t="n"/>
      <c r="H67" s="3" t="n"/>
      <c r="I67" s="3" t="n"/>
      <c r="J67" s="2" t="n"/>
    </row>
    <row r="68">
      <c r="A68" s="2" t="n"/>
      <c r="B68" s="2" t="n"/>
      <c r="C68" s="2" t="n"/>
      <c r="D68" s="2" t="n"/>
      <c r="E68" s="2" t="n"/>
      <c r="F68" s="2" t="n"/>
      <c r="G68" s="3" t="n"/>
      <c r="H68" s="3" t="n"/>
      <c r="I68" s="3" t="n"/>
      <c r="J68" s="2" t="n"/>
    </row>
    <row r="69">
      <c r="A69" s="2" t="n"/>
      <c r="B69" s="2" t="n"/>
      <c r="C69" s="2" t="n"/>
      <c r="D69" s="2" t="n"/>
      <c r="E69" s="2" t="n"/>
      <c r="F69" s="2" t="n"/>
      <c r="G69" s="3" t="n"/>
      <c r="H69" s="3" t="n"/>
      <c r="I69" s="3" t="n"/>
      <c r="J69" s="2" t="n"/>
    </row>
    <row r="70">
      <c r="A70" s="2" t="n"/>
      <c r="B70" s="2" t="n"/>
      <c r="C70" s="2" t="n"/>
      <c r="D70" s="2" t="n"/>
      <c r="E70" s="2" t="n"/>
      <c r="F70" s="2" t="n"/>
      <c r="G70" s="3" t="n"/>
      <c r="H70" s="3" t="n"/>
      <c r="I70" s="3" t="n"/>
      <c r="J70" s="2" t="n"/>
    </row>
    <row r="71">
      <c r="A71" s="2" t="n"/>
      <c r="B71" s="2" t="n"/>
      <c r="C71" s="2" t="n"/>
      <c r="D71" s="2" t="n"/>
      <c r="E71" s="2" t="n"/>
      <c r="F71" s="2" t="n"/>
      <c r="G71" s="3" t="n"/>
      <c r="H71" s="3" t="n"/>
      <c r="I71" s="3" t="n"/>
      <c r="J71" s="2" t="n"/>
    </row>
    <row r="72">
      <c r="A72" s="2" t="n"/>
      <c r="B72" s="2" t="n"/>
      <c r="C72" s="2" t="n"/>
      <c r="D72" s="2" t="n"/>
      <c r="E72" s="2" t="n"/>
      <c r="F72" s="2" t="n"/>
      <c r="G72" s="3" t="n"/>
      <c r="H72" s="3" t="n"/>
      <c r="I72" s="3" t="n"/>
      <c r="J72" s="2" t="n"/>
    </row>
    <row r="73">
      <c r="A73" s="2" t="n"/>
      <c r="B73" s="2" t="n"/>
      <c r="C73" s="2" t="n"/>
      <c r="D73" s="2" t="n"/>
      <c r="E73" s="2" t="n"/>
      <c r="F73" s="2" t="n"/>
      <c r="G73" s="3" t="n"/>
      <c r="H73" s="3" t="n"/>
      <c r="I73" s="3" t="n"/>
      <c r="J73" s="2" t="n"/>
    </row>
    <row r="74">
      <c r="A74" s="2" t="n"/>
      <c r="B74" s="2" t="n"/>
      <c r="C74" s="2" t="n"/>
      <c r="D74" s="2" t="n"/>
      <c r="E74" s="2" t="n"/>
      <c r="F74" s="2" t="n"/>
      <c r="G74" s="3" t="n"/>
      <c r="H74" s="3" t="n"/>
      <c r="I74" s="3" t="n"/>
      <c r="J74" s="2" t="n"/>
    </row>
    <row r="75">
      <c r="A75" s="2" t="n"/>
      <c r="B75" s="2" t="n"/>
      <c r="C75" s="2" t="n"/>
      <c r="D75" s="2" t="n"/>
      <c r="E75" s="2" t="n"/>
      <c r="F75" s="2" t="n"/>
      <c r="G75" s="3" t="n"/>
      <c r="H75" s="3" t="n"/>
      <c r="I75" s="3" t="n"/>
      <c r="J75" s="2" t="n"/>
    </row>
    <row r="76">
      <c r="A76" s="2" t="n"/>
      <c r="B76" s="2" t="n"/>
      <c r="C76" s="2" t="n"/>
      <c r="D76" s="2" t="n"/>
      <c r="E76" s="2" t="n"/>
      <c r="F76" s="2" t="n"/>
      <c r="G76" s="3" t="n"/>
      <c r="H76" s="3" t="n"/>
      <c r="I76" s="3" t="n"/>
      <c r="J76" s="2" t="n"/>
    </row>
    <row r="77">
      <c r="A77" s="2" t="n"/>
      <c r="B77" s="2" t="n"/>
      <c r="C77" s="2" t="n"/>
      <c r="D77" s="2" t="n"/>
      <c r="E77" s="2" t="n"/>
      <c r="F77" s="2" t="n"/>
      <c r="G77" s="3" t="n"/>
      <c r="H77" s="3" t="n"/>
      <c r="I77" s="3" t="n"/>
      <c r="J77" s="2" t="n"/>
    </row>
    <row r="78">
      <c r="A78" s="2" t="n"/>
      <c r="B78" s="2" t="n"/>
      <c r="C78" s="2" t="n"/>
      <c r="D78" s="2" t="n"/>
      <c r="E78" s="2" t="n"/>
      <c r="F78" s="2" t="n"/>
      <c r="G78" s="3" t="n"/>
      <c r="H78" s="3" t="n"/>
      <c r="I78" s="3" t="n"/>
      <c r="J78" s="2" t="n"/>
    </row>
    <row r="79">
      <c r="A79" s="2" t="n"/>
      <c r="B79" s="2" t="n"/>
      <c r="C79" s="2" t="n"/>
      <c r="D79" s="2" t="n"/>
      <c r="E79" s="2" t="n"/>
      <c r="F79" s="2" t="n"/>
      <c r="G79" s="3" t="n"/>
      <c r="H79" s="3" t="n"/>
      <c r="I79" s="3" t="n"/>
      <c r="J79" s="2" t="n"/>
    </row>
    <row r="80">
      <c r="A80" s="2" t="n"/>
      <c r="B80" s="2" t="n"/>
      <c r="C80" s="2" t="n"/>
      <c r="D80" s="2" t="n"/>
      <c r="E80" s="2" t="n"/>
      <c r="F80" s="2" t="n"/>
      <c r="G80" s="3" t="n"/>
      <c r="H80" s="3" t="n"/>
      <c r="I80" s="3" t="n"/>
      <c r="J80" s="2" t="n"/>
    </row>
    <row r="81">
      <c r="A81" s="2" t="n"/>
      <c r="B81" s="2" t="n"/>
      <c r="C81" s="2" t="n"/>
      <c r="D81" s="2" t="n"/>
      <c r="E81" s="2" t="n"/>
      <c r="F81" s="2" t="n"/>
      <c r="G81" s="3" t="n"/>
      <c r="H81" s="3" t="n"/>
      <c r="I81" s="3" t="n"/>
      <c r="J81" s="2" t="n"/>
    </row>
    <row r="82">
      <c r="A82" s="2" t="n"/>
      <c r="B82" s="2" t="n"/>
      <c r="C82" s="2" t="n"/>
      <c r="D82" s="2" t="n"/>
      <c r="E82" s="2" t="n"/>
      <c r="F82" s="2" t="n"/>
      <c r="G82" s="3" t="n"/>
      <c r="H82" s="3" t="n"/>
      <c r="I82" s="3" t="n"/>
      <c r="J82" s="2" t="n"/>
    </row>
    <row r="83">
      <c r="A83" s="2" t="n"/>
      <c r="B83" s="2" t="n"/>
      <c r="C83" s="2" t="n"/>
      <c r="D83" s="2" t="n"/>
      <c r="E83" s="2" t="n"/>
      <c r="F83" s="2" t="n"/>
      <c r="G83" s="3" t="n"/>
      <c r="H83" s="3" t="n"/>
      <c r="I83" s="3" t="n"/>
      <c r="J83" s="2" t="n"/>
    </row>
    <row r="84">
      <c r="A84" s="2" t="n"/>
      <c r="B84" s="2" t="n"/>
      <c r="C84" s="2" t="n"/>
      <c r="D84" s="2" t="n"/>
      <c r="E84" s="2" t="n"/>
      <c r="F84" s="2" t="n"/>
      <c r="G84" s="3" t="n"/>
      <c r="H84" s="3" t="n"/>
      <c r="I84" s="3" t="n"/>
      <c r="J84" s="2" t="n"/>
    </row>
    <row r="85">
      <c r="A85" s="2" t="n"/>
      <c r="B85" s="2" t="n"/>
      <c r="C85" s="2" t="n"/>
      <c r="D85" s="2" t="n"/>
      <c r="E85" s="2" t="n"/>
      <c r="F85" s="2" t="n"/>
      <c r="G85" s="3" t="n"/>
      <c r="H85" s="3" t="n"/>
      <c r="I85" s="3" t="n"/>
      <c r="J85" s="2" t="n"/>
    </row>
    <row r="86">
      <c r="A86" s="2" t="n"/>
      <c r="B86" s="2" t="n"/>
      <c r="C86" s="2" t="n"/>
      <c r="D86" s="2" t="n"/>
      <c r="E86" s="2" t="n"/>
      <c r="F86" s="2" t="n"/>
      <c r="G86" s="3" t="n"/>
      <c r="H86" s="3" t="n"/>
      <c r="I86" s="3" t="n"/>
      <c r="J86" s="2" t="n"/>
    </row>
    <row r="87">
      <c r="A87" s="2" t="n"/>
      <c r="B87" s="2" t="n"/>
      <c r="C87" s="2" t="n"/>
      <c r="D87" s="2" t="n"/>
      <c r="E87" s="2" t="n"/>
      <c r="F87" s="2" t="n"/>
      <c r="G87" s="3" t="n"/>
      <c r="H87" s="3" t="n"/>
      <c r="I87" s="3" t="n"/>
      <c r="J87" s="2" t="n"/>
    </row>
    <row r="88">
      <c r="A88" s="2" t="n"/>
      <c r="B88" s="2" t="n"/>
      <c r="C88" s="2" t="n"/>
      <c r="D88" s="2" t="n"/>
      <c r="E88" s="2" t="n"/>
      <c r="F88" s="2" t="n"/>
      <c r="G88" s="3" t="n"/>
      <c r="H88" s="3" t="n"/>
      <c r="I88" s="3" t="n"/>
      <c r="J88" s="2" t="n"/>
    </row>
    <row r="89">
      <c r="A89" s="2" t="n"/>
      <c r="B89" s="2" t="n"/>
      <c r="C89" s="2" t="n"/>
      <c r="D89" s="2" t="n"/>
      <c r="E89" s="2" t="n"/>
      <c r="F89" s="2" t="n"/>
      <c r="G89" s="3" t="n"/>
      <c r="H89" s="3" t="n"/>
      <c r="I89" s="3" t="n"/>
      <c r="J89" s="2" t="n"/>
    </row>
    <row r="90">
      <c r="A90" s="2" t="n"/>
      <c r="B90" s="2" t="n"/>
      <c r="C90" s="2" t="n"/>
      <c r="D90" s="2" t="n"/>
      <c r="E90" s="2" t="n"/>
      <c r="F90" s="2" t="n"/>
      <c r="G90" s="3" t="n"/>
      <c r="H90" s="3" t="n"/>
      <c r="I90" s="3" t="n"/>
      <c r="J90" s="2" t="n"/>
    </row>
    <row r="91">
      <c r="A91" s="2" t="n"/>
      <c r="B91" s="2" t="n"/>
      <c r="C91" s="2" t="n"/>
      <c r="D91" s="2" t="n"/>
      <c r="E91" s="2" t="n"/>
      <c r="F91" s="2" t="n"/>
      <c r="G91" s="3" t="n"/>
      <c r="H91" s="3" t="n"/>
      <c r="I91" s="3" t="n"/>
      <c r="J91" s="2" t="n"/>
    </row>
    <row r="92">
      <c r="A92" s="2" t="n"/>
      <c r="B92" s="2" t="n"/>
      <c r="C92" s="2" t="n"/>
      <c r="D92" s="2" t="n"/>
      <c r="E92" s="2" t="n"/>
      <c r="F92" s="2" t="n"/>
      <c r="G92" s="3" t="n"/>
      <c r="H92" s="3" t="n"/>
      <c r="I92" s="3" t="n"/>
      <c r="J92" s="2" t="n"/>
    </row>
    <row r="93">
      <c r="A93" s="2" t="n"/>
      <c r="B93" s="2" t="n"/>
      <c r="C93" s="2" t="n"/>
      <c r="D93" s="2" t="n"/>
      <c r="E93" s="2" t="n"/>
      <c r="F93" s="2" t="n"/>
      <c r="G93" s="3" t="n"/>
      <c r="H93" s="3" t="n"/>
      <c r="I93" s="3" t="n"/>
      <c r="J93" s="2" t="n"/>
    </row>
    <row r="94">
      <c r="A94" s="2" t="n"/>
      <c r="B94" s="2" t="n"/>
      <c r="C94" s="2" t="n"/>
      <c r="D94" s="2" t="n"/>
      <c r="E94" s="2" t="n"/>
      <c r="F94" s="2" t="n"/>
      <c r="G94" s="3" t="n"/>
      <c r="H94" s="3" t="n"/>
      <c r="I94" s="3" t="n"/>
      <c r="J94" s="2" t="n"/>
    </row>
    <row r="95">
      <c r="A95" s="2" t="n"/>
      <c r="B95" s="2" t="n"/>
      <c r="C95" s="2" t="n"/>
      <c r="D95" s="2" t="n"/>
      <c r="E95" s="2" t="n"/>
      <c r="F95" s="2" t="n"/>
      <c r="G95" s="3" t="n"/>
      <c r="H95" s="3" t="n"/>
      <c r="I95" s="3" t="n"/>
      <c r="J95" s="2" t="n"/>
    </row>
    <row r="96">
      <c r="A96" s="2" t="n"/>
      <c r="B96" s="2" t="n"/>
      <c r="C96" s="2" t="n"/>
      <c r="D96" s="2" t="n"/>
      <c r="E96" s="2" t="n"/>
      <c r="F96" s="2" t="n"/>
      <c r="G96" s="3" t="n"/>
      <c r="H96" s="3" t="n"/>
      <c r="I96" s="3" t="n"/>
      <c r="J96" s="2" t="n"/>
    </row>
    <row r="97">
      <c r="A97" s="2" t="n"/>
      <c r="B97" s="2" t="n"/>
      <c r="C97" s="2" t="n"/>
      <c r="D97" s="2" t="n"/>
      <c r="E97" s="2" t="n"/>
      <c r="F97" s="2" t="n"/>
      <c r="G97" s="3" t="n"/>
      <c r="H97" s="3" t="n"/>
      <c r="I97" s="3" t="n"/>
      <c r="J97" s="2" t="n"/>
    </row>
    <row r="98">
      <c r="A98" s="2" t="n"/>
      <c r="B98" s="2" t="n"/>
      <c r="C98" s="2" t="n"/>
      <c r="D98" s="2" t="n"/>
      <c r="E98" s="2" t="n"/>
      <c r="F98" s="2" t="n"/>
      <c r="G98" s="3" t="n"/>
      <c r="H98" s="3" t="n"/>
      <c r="I98" s="3" t="n"/>
      <c r="J98" s="2" t="n"/>
    </row>
    <row r="99">
      <c r="A99" s="2" t="n"/>
      <c r="B99" s="2" t="n"/>
      <c r="C99" s="2" t="n"/>
      <c r="D99" s="2" t="n"/>
      <c r="E99" s="2" t="n"/>
      <c r="F99" s="2" t="n"/>
      <c r="G99" s="3" t="n"/>
      <c r="H99" s="3" t="n"/>
      <c r="I99" s="3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3" t="n"/>
      <c r="H100" s="3" t="n"/>
      <c r="I100" s="3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3" t="n"/>
      <c r="H101" s="3" t="n"/>
      <c r="I101" s="3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3" t="n"/>
      <c r="H102" s="3" t="n"/>
      <c r="I102" s="3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3" t="n"/>
      <c r="H103" s="3" t="n"/>
      <c r="I103" s="3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3" t="n"/>
      <c r="H104" s="3" t="n"/>
      <c r="I104" s="3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3" t="n"/>
      <c r="H105" s="3" t="n"/>
      <c r="I105" s="3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3" t="n"/>
      <c r="H106" s="3" t="n"/>
      <c r="I106" s="3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3" t="n"/>
      <c r="H107" s="3" t="n"/>
      <c r="I107" s="3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3" t="n"/>
      <c r="H108" s="3" t="n"/>
      <c r="I108" s="3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3" t="n"/>
      <c r="H109" s="3" t="n"/>
      <c r="I109" s="3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3" t="n"/>
      <c r="H110" s="3" t="n"/>
      <c r="I110" s="3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3" t="n"/>
      <c r="H111" s="3" t="n"/>
      <c r="I111" s="3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3" t="n"/>
      <c r="H112" s="3" t="n"/>
      <c r="I112" s="3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3" t="n"/>
      <c r="H113" s="3" t="n"/>
      <c r="I113" s="3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3" t="n"/>
      <c r="H114" s="3" t="n"/>
      <c r="I114" s="3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3" t="n"/>
      <c r="H115" s="3" t="n"/>
      <c r="I115" s="3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3" t="n"/>
      <c r="H116" s="3" t="n"/>
      <c r="I116" s="3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3" t="n"/>
      <c r="H117" s="3" t="n"/>
      <c r="I117" s="3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3" t="n"/>
      <c r="H118" s="3" t="n"/>
      <c r="I118" s="3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3" t="n"/>
      <c r="H119" s="3" t="n"/>
      <c r="I119" s="3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3" t="n"/>
      <c r="H120" s="3" t="n"/>
      <c r="I120" s="3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3" t="n"/>
      <c r="H121" s="3" t="n"/>
      <c r="I121" s="3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3" t="n"/>
      <c r="H122" s="3" t="n"/>
      <c r="I122" s="3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3" t="n"/>
      <c r="H123" s="3" t="n"/>
      <c r="I123" s="3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3" t="n"/>
      <c r="H124" s="3" t="n"/>
      <c r="I124" s="3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3" t="n"/>
      <c r="H125" s="3" t="n"/>
      <c r="I125" s="3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3" t="n"/>
      <c r="H126" s="3" t="n"/>
      <c r="I126" s="3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3" t="n"/>
      <c r="H127" s="3" t="n"/>
      <c r="I127" s="3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3" t="n"/>
      <c r="H128" s="3" t="n"/>
      <c r="I128" s="3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3" t="n"/>
      <c r="H129" s="3" t="n"/>
      <c r="I129" s="3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3" t="n"/>
      <c r="H130" s="3" t="n"/>
      <c r="I130" s="3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3" t="n"/>
      <c r="H131" s="3" t="n"/>
      <c r="I131" s="3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3" t="n"/>
      <c r="H132" s="3" t="n"/>
      <c r="I132" s="3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3" t="n"/>
      <c r="H133" s="3" t="n"/>
      <c r="I133" s="3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3" t="n"/>
      <c r="H134" s="3" t="n"/>
      <c r="I134" s="3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3" t="n"/>
      <c r="H135" s="3" t="n"/>
      <c r="I135" s="3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3" t="n"/>
      <c r="H136" s="3" t="n"/>
      <c r="I136" s="3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3" t="n"/>
      <c r="H137" s="3" t="n"/>
      <c r="I137" s="3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3" t="n"/>
      <c r="H138" s="3" t="n"/>
      <c r="I138" s="3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3" t="n"/>
      <c r="H139" s="3" t="n"/>
      <c r="I139" s="3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3" t="n"/>
      <c r="H140" s="3" t="n"/>
      <c r="I140" s="3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3" t="n"/>
      <c r="H141" s="3" t="n"/>
      <c r="I141" s="3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3" t="n"/>
      <c r="H142" s="3" t="n"/>
      <c r="I142" s="3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3" t="n"/>
      <c r="H143" s="3" t="n"/>
      <c r="I143" s="3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3" t="n"/>
      <c r="H144" s="3" t="n"/>
      <c r="I144" s="3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3" t="n"/>
      <c r="H145" s="3" t="n"/>
      <c r="I145" s="3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3" t="n"/>
      <c r="H146" s="3" t="n"/>
      <c r="I146" s="3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3" t="n"/>
      <c r="H147" s="3" t="n"/>
      <c r="I147" s="3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3" t="n"/>
      <c r="H148" s="3" t="n"/>
      <c r="I148" s="3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3" t="n"/>
      <c r="H149" s="3" t="n"/>
      <c r="I149" s="3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3" t="n"/>
      <c r="H150" s="3" t="n"/>
      <c r="I150" s="3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3" t="n"/>
      <c r="H151" s="3" t="n"/>
      <c r="I151" s="3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3" t="n"/>
      <c r="H152" s="3" t="n"/>
      <c r="I152" s="3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3" t="n"/>
      <c r="H153" s="3" t="n"/>
      <c r="I153" s="3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3" t="n"/>
      <c r="H154" s="3" t="n"/>
      <c r="I154" s="3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3" t="n"/>
      <c r="H155" s="3" t="n"/>
      <c r="I155" s="3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3" t="n"/>
      <c r="H156" s="3" t="n"/>
      <c r="I156" s="3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3" t="n"/>
      <c r="H157" s="3" t="n"/>
      <c r="I157" s="3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3" t="n"/>
      <c r="H158" s="3" t="n"/>
      <c r="I158" s="3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3" t="n"/>
      <c r="H159" s="3" t="n"/>
      <c r="I159" s="3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3" t="n"/>
      <c r="H160" s="3" t="n"/>
      <c r="I160" s="3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3" t="n"/>
      <c r="H161" s="3" t="n"/>
      <c r="I161" s="3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3" t="n"/>
      <c r="H162" s="3" t="n"/>
      <c r="I162" s="3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3" t="n"/>
      <c r="H163" s="3" t="n"/>
      <c r="I163" s="3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3" t="n"/>
      <c r="H164" s="3" t="n"/>
      <c r="I164" s="3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3" t="n"/>
      <c r="H165" s="3" t="n"/>
      <c r="I165" s="3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3" t="n"/>
      <c r="H166" s="3" t="n"/>
      <c r="I166" s="3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3" t="n"/>
      <c r="H167" s="3" t="n"/>
      <c r="I167" s="3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3" t="n"/>
      <c r="H168" s="3" t="n"/>
      <c r="I168" s="3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3" t="n"/>
      <c r="H169" s="3" t="n"/>
      <c r="I169" s="3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3" t="n"/>
      <c r="H170" s="3" t="n"/>
      <c r="I170" s="3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3" t="n"/>
      <c r="H171" s="3" t="n"/>
      <c r="I171" s="3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3" t="n"/>
      <c r="H172" s="3" t="n"/>
      <c r="I172" s="3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3" t="n"/>
      <c r="H173" s="3" t="n"/>
      <c r="I173" s="3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3" t="n"/>
      <c r="H174" s="3" t="n"/>
      <c r="I174" s="3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3" t="n"/>
      <c r="H175" s="3" t="n"/>
      <c r="I175" s="3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3" t="n"/>
      <c r="H176" s="3" t="n"/>
      <c r="I176" s="3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3" t="n"/>
      <c r="H177" s="3" t="n"/>
      <c r="I177" s="3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3" t="n"/>
      <c r="H178" s="3" t="n"/>
      <c r="I178" s="3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3" t="n"/>
      <c r="H179" s="3" t="n"/>
      <c r="I179" s="3" t="n"/>
      <c r="J179" s="2" t="n"/>
    </row>
    <row r="180">
      <c r="A180" s="2" t="n">
        <v>53</v>
      </c>
      <c r="B180" s="2" t="inlineStr">
        <is>
          <t>Suwasevana Hospital Kandy</t>
        </is>
      </c>
      <c r="C180" s="2" t="n"/>
      <c r="D180" s="2" t="inlineStr">
        <is>
          <t>20.02.1016</t>
        </is>
      </c>
      <c r="E180" s="2" t="n"/>
      <c r="F180" s="2" t="inlineStr">
        <is>
          <t>Bank</t>
        </is>
      </c>
      <c r="G180" s="3" t="n">
        <v>6000</v>
      </c>
      <c r="H180" s="36" t="n"/>
      <c r="I180" s="36" t="n"/>
      <c r="J180" s="34" t="n"/>
    </row>
    <row r="181">
      <c r="A181" s="34" t="n"/>
      <c r="B181" s="34" t="inlineStr">
        <is>
          <t>SPC CPU</t>
        </is>
      </c>
      <c r="C181" s="34" t="n"/>
      <c r="D181" s="34" t="n"/>
      <c r="E181" s="34" t="n"/>
      <c r="F181" s="34" t="n"/>
      <c r="G181" s="36" t="n"/>
      <c r="H181" s="36" t="n"/>
      <c r="I181" s="36" t="n"/>
      <c r="J181" s="34" t="inlineStr">
        <is>
          <t>No related catergory</t>
        </is>
      </c>
    </row>
    <row r="182">
      <c r="A182" s="34" t="n"/>
      <c r="B182" s="34" t="n"/>
      <c r="C182" s="34" t="n"/>
      <c r="D182" s="34" t="n"/>
      <c r="E182" s="34" t="n"/>
      <c r="F182" s="34" t="n"/>
      <c r="G182" s="36" t="n"/>
      <c r="H182" s="36" t="n"/>
      <c r="I182" s="36" t="n"/>
      <c r="J182" s="34" t="n"/>
    </row>
    <row r="183">
      <c r="A183" s="34" t="n"/>
      <c r="B183" s="34" t="n"/>
      <c r="C183" s="34" t="n"/>
      <c r="D183" s="34" t="n"/>
      <c r="E183" s="34" t="n"/>
      <c r="F183" s="34" t="n"/>
      <c r="G183" s="35">
        <f>'Settlement 02'!J11</f>
        <v/>
      </c>
      <c r="H183" s="35" t="n"/>
      <c r="I183" s="35" t="n"/>
      <c r="J183" s="34" t="n"/>
      <c r="M183" t="n">
        <v>14</v>
      </c>
    </row>
    <row r="184">
      <c r="M184" t="n">
        <v>16</v>
      </c>
    </row>
    <row r="185">
      <c r="A185" t="inlineStr">
        <is>
          <t>To be published</t>
        </is>
      </c>
      <c r="M185" t="n">
        <v>17</v>
      </c>
    </row>
    <row r="186">
      <c r="A186" t="n">
        <v>1</v>
      </c>
      <c r="B186" t="inlineStr">
        <is>
          <t>SJGH</t>
        </is>
      </c>
      <c r="M186" t="n">
        <v>18</v>
      </c>
    </row>
    <row r="187">
      <c r="A187" t="n">
        <v>2</v>
      </c>
      <c r="B187" t="inlineStr">
        <is>
          <t>MOD</t>
        </is>
      </c>
      <c r="D187" t="inlineStr">
        <is>
          <t>Will not publish SR. Quoting through Promise.lk</t>
        </is>
      </c>
      <c r="M187" t="n">
        <v>20</v>
      </c>
    </row>
    <row r="188">
      <c r="A188" t="n">
        <v>3</v>
      </c>
      <c r="B188" t="inlineStr">
        <is>
          <t>Ninewells</t>
        </is>
      </c>
      <c r="M188" t="n">
        <v>21</v>
      </c>
    </row>
    <row r="189">
      <c r="A189" t="n">
        <v>4</v>
      </c>
      <c r="B189" t="inlineStr">
        <is>
          <t>Joseph Fraser Ninewells</t>
        </is>
      </c>
      <c r="M189" t="n">
        <v>22</v>
      </c>
    </row>
    <row r="190">
      <c r="A190" t="n">
        <v>5</v>
      </c>
      <c r="B190" t="inlineStr">
        <is>
          <t>Wijaya K. Memorial</t>
        </is>
      </c>
      <c r="M190" t="n">
        <v>23</v>
      </c>
    </row>
    <row r="191">
      <c r="M191" t="n">
        <v>24</v>
      </c>
    </row>
    <row r="192">
      <c r="M192" t="n">
        <v>25</v>
      </c>
    </row>
    <row r="193">
      <c r="M193" t="n">
        <v>59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4"/>
  <sheetViews>
    <sheetView workbookViewId="0">
      <selection activeCell="C4" sqref="C4"/>
    </sheetView>
  </sheetViews>
  <sheetFormatPr baseColWidth="8" defaultRowHeight="13"/>
  <cols>
    <col width="8.7265625" customWidth="1" style="7" min="1" max="1"/>
    <col width="32" customWidth="1" style="7" min="2" max="2"/>
    <col width="17.90625" customWidth="1" style="7" min="3" max="3"/>
    <col width="16.81640625" customWidth="1" style="23" min="4" max="4"/>
    <col width="20.7265625" customWidth="1" style="7" min="5" max="5"/>
    <col width="16" customWidth="1" style="7" min="6" max="6"/>
    <col width="8.7265625" customWidth="1" style="7" min="7" max="16384"/>
  </cols>
  <sheetData>
    <row r="1">
      <c r="B1" s="39" t="inlineStr">
        <is>
          <t>Supplier Registration Advance settlement-01st lot</t>
        </is>
      </c>
      <c r="E1" s="17" t="n"/>
      <c r="F1" s="17" t="n"/>
    </row>
    <row r="2">
      <c r="B2" s="8" t="n"/>
      <c r="C2" s="8" t="n"/>
      <c r="D2" s="32" t="n"/>
      <c r="E2" s="8" t="n"/>
      <c r="F2" s="8" t="n"/>
    </row>
    <row r="3">
      <c r="B3" s="25" t="inlineStr">
        <is>
          <t>Cash Taken</t>
        </is>
      </c>
      <c r="C3" s="24" t="n">
        <v>150000</v>
      </c>
      <c r="D3" s="32" t="n"/>
      <c r="E3" s="8" t="n"/>
      <c r="F3" s="8" t="n"/>
    </row>
    <row r="4">
      <c r="B4" s="25" t="inlineStr">
        <is>
          <t>Spent</t>
        </is>
      </c>
      <c r="C4" s="22">
        <f>C24</f>
        <v/>
      </c>
      <c r="D4" s="32" t="n"/>
      <c r="E4" s="8" t="n"/>
      <c r="F4" s="8" t="n"/>
    </row>
    <row r="5">
      <c r="B5" s="26" t="inlineStr">
        <is>
          <t>Balance</t>
        </is>
      </c>
      <c r="C5" s="22">
        <f>C3-C4</f>
        <v/>
      </c>
      <c r="D5" s="32" t="n"/>
      <c r="E5" s="8" t="n"/>
      <c r="F5" s="8" t="n"/>
    </row>
    <row r="6">
      <c r="B6" s="8" t="n"/>
      <c r="C6" s="8" t="n"/>
      <c r="D6" s="32" t="n"/>
      <c r="E6" s="8" t="n"/>
      <c r="F6" s="8" t="n"/>
    </row>
    <row r="7">
      <c r="B7" s="9" t="inlineStr">
        <is>
          <t>Institute</t>
        </is>
      </c>
      <c r="C7" s="9" t="inlineStr">
        <is>
          <t>Registration Fee</t>
        </is>
      </c>
      <c r="D7" s="21" t="inlineStr">
        <is>
          <t>Postal chargers</t>
        </is>
      </c>
      <c r="E7" s="10" t="n"/>
      <c r="F7" s="10" t="n"/>
    </row>
    <row r="8">
      <c r="B8" s="11" t="inlineStr">
        <is>
          <t>BH Gampola</t>
        </is>
      </c>
      <c r="C8" s="12" t="n">
        <v>4000</v>
      </c>
      <c r="D8" s="22" t="n">
        <v>210</v>
      </c>
      <c r="E8" s="8" t="n"/>
      <c r="F8" s="8" t="n"/>
    </row>
    <row r="9">
      <c r="B9" s="11" t="inlineStr">
        <is>
          <t>CNTH Ragama</t>
        </is>
      </c>
      <c r="C9" s="12" t="n">
        <v>7000</v>
      </c>
      <c r="D9" s="22" t="n"/>
      <c r="E9" s="8" t="n"/>
      <c r="F9" s="13" t="n"/>
    </row>
    <row r="10">
      <c r="B10" s="11" t="inlineStr">
        <is>
          <t>MSD</t>
        </is>
      </c>
      <c r="C10" s="12" t="n">
        <v>5000</v>
      </c>
      <c r="D10" s="22" t="n"/>
      <c r="E10" s="8" t="n"/>
      <c r="F10" s="13" t="n"/>
    </row>
    <row r="11">
      <c r="B11" s="11" t="inlineStr">
        <is>
          <t>Sirimavo Bandaranayeka - Peradeniya</t>
        </is>
      </c>
      <c r="C11" s="12" t="n">
        <v>20000</v>
      </c>
      <c r="D11" s="22" t="n"/>
      <c r="E11" s="8" t="n"/>
      <c r="F11" s="13" t="n"/>
    </row>
    <row r="12">
      <c r="B12" s="11" t="inlineStr">
        <is>
          <t>GH Peradeniya</t>
        </is>
      </c>
      <c r="C12" s="14" t="n">
        <v>5000</v>
      </c>
      <c r="D12" s="22" t="n"/>
      <c r="E12" s="8" t="n"/>
      <c r="F12" s="13" t="n"/>
    </row>
    <row r="13">
      <c r="B13" s="11" t="inlineStr">
        <is>
          <t>TH Ratnapura</t>
        </is>
      </c>
      <c r="C13" s="14" t="n">
        <v>16000</v>
      </c>
      <c r="D13" s="22" t="n"/>
      <c r="E13" s="15" t="n"/>
      <c r="F13" s="8" t="n"/>
    </row>
    <row r="14">
      <c r="B14" s="11" t="inlineStr">
        <is>
          <t>DGH Kegalle</t>
        </is>
      </c>
      <c r="C14" s="14" t="n">
        <v>15000</v>
      </c>
      <c r="D14" s="14" t="n"/>
      <c r="E14" s="8" t="n"/>
      <c r="F14" s="8" t="n"/>
    </row>
    <row r="15">
      <c r="B15" s="11" t="inlineStr">
        <is>
          <t>DGH Trinco</t>
        </is>
      </c>
      <c r="C15" s="14" t="n">
        <v>2000</v>
      </c>
      <c r="D15" s="14" t="n">
        <v>2400</v>
      </c>
      <c r="E15" s="16" t="n"/>
      <c r="F15" s="17" t="n"/>
    </row>
    <row r="16">
      <c r="B16" s="11" t="inlineStr">
        <is>
          <t>NH Kandy</t>
        </is>
      </c>
      <c r="C16" s="14" t="n">
        <v>8000</v>
      </c>
      <c r="D16" s="14" t="n"/>
      <c r="E16" s="8" t="n"/>
      <c r="F16" s="8" t="n"/>
    </row>
    <row r="17">
      <c r="B17" s="11" t="inlineStr">
        <is>
          <t>TH Kurunegala</t>
        </is>
      </c>
      <c r="C17" s="14" t="n">
        <v>30000</v>
      </c>
      <c r="D17" s="14" t="n"/>
      <c r="E17" s="8" t="n"/>
      <c r="F17" s="8" t="n"/>
    </row>
    <row r="18">
      <c r="B18" s="11" t="inlineStr">
        <is>
          <t>TH Anuradhapura</t>
        </is>
      </c>
      <c r="C18" s="14" t="n">
        <v>13000</v>
      </c>
      <c r="D18" s="14" t="n"/>
      <c r="E18" s="8" t="n"/>
      <c r="F18" s="8" t="n"/>
    </row>
    <row r="19">
      <c r="B19" s="11" t="inlineStr">
        <is>
          <t>DGH Hambantota</t>
        </is>
      </c>
      <c r="C19" s="14" t="n">
        <v>10000</v>
      </c>
      <c r="D19" s="22" t="n"/>
      <c r="E19" s="8" t="n"/>
      <c r="F19" s="8" t="n"/>
    </row>
    <row r="20">
      <c r="B20" s="11" t="inlineStr">
        <is>
          <t>De Soysa Hospital</t>
        </is>
      </c>
      <c r="C20" s="14" t="n">
        <v>4000</v>
      </c>
      <c r="D20" s="22" t="n"/>
      <c r="E20" s="8" t="n"/>
      <c r="F20" s="8" t="n"/>
    </row>
    <row r="21">
      <c r="B21" s="11" t="inlineStr">
        <is>
          <t>NHSL</t>
        </is>
      </c>
      <c r="C21" s="14" t="n">
        <v>2000</v>
      </c>
      <c r="D21" s="22" t="n"/>
      <c r="E21" s="8" t="n"/>
      <c r="F21" s="8" t="n"/>
    </row>
    <row r="22">
      <c r="B22" s="11" t="inlineStr">
        <is>
          <t>National Eye Hospital</t>
        </is>
      </c>
      <c r="C22" s="14" t="n">
        <v>6000</v>
      </c>
      <c r="D22" s="22" t="n"/>
      <c r="E22" s="8" t="n"/>
      <c r="F22" s="8" t="n"/>
    </row>
    <row r="23">
      <c r="B23" s="18" t="inlineStr">
        <is>
          <t>Total</t>
        </is>
      </c>
      <c r="C23" s="21">
        <f>SUM(C8:C22)</f>
        <v/>
      </c>
      <c r="D23" s="21">
        <f>SUM(D8:D22)</f>
        <v/>
      </c>
      <c r="E23" s="8" t="n"/>
      <c r="F23" s="8" t="n"/>
    </row>
    <row r="24" ht="14.5" customHeight="1">
      <c r="B24" s="19" t="inlineStr">
        <is>
          <t>Grand Total</t>
        </is>
      </c>
      <c r="C24" s="40">
        <f>SUM(C23:D23)</f>
        <v/>
      </c>
      <c r="D24" s="41" t="n"/>
    </row>
  </sheetData>
  <mergeCells count="2">
    <mergeCell ref="B1:D1"/>
    <mergeCell ref="C24:D24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33"/>
  <sheetViews>
    <sheetView topLeftCell="B1" zoomScaleNormal="100" zoomScaleSheetLayoutView="98" workbookViewId="0">
      <selection activeCell="J12" sqref="J12"/>
    </sheetView>
  </sheetViews>
  <sheetFormatPr baseColWidth="8" defaultRowHeight="13"/>
  <cols>
    <col width="4.90625" customWidth="1" style="7" min="1" max="1"/>
    <col width="32" customWidth="1" style="7" min="2" max="2"/>
    <col width="17.90625" customWidth="1" style="7" min="3" max="3"/>
    <col width="16.81640625" customWidth="1" style="23" min="4" max="4"/>
    <col width="20.7265625" customWidth="1" style="7" min="5" max="5"/>
    <col width="16" customWidth="1" style="23" min="6" max="6"/>
    <col width="8.7265625" customWidth="1" style="7" min="7" max="7"/>
    <col width="15.1796875" customWidth="1" style="23" min="8" max="8"/>
    <col width="8.7265625" customWidth="1" style="7" min="9" max="9"/>
    <col width="17.26953125" customWidth="1" style="23" min="10" max="10"/>
    <col width="8.7265625" customWidth="1" style="7" min="11" max="16384"/>
  </cols>
  <sheetData>
    <row r="1">
      <c r="B1" s="39" t="inlineStr">
        <is>
          <t>Supplier Registration Advance settlement-02nd lot</t>
        </is>
      </c>
      <c r="E1" s="17" t="n"/>
      <c r="F1" s="33" t="n"/>
    </row>
    <row r="2">
      <c r="B2" s="8" t="n"/>
      <c r="C2" s="8" t="n"/>
      <c r="D2" s="32" t="n"/>
      <c r="E2" s="8" t="n"/>
      <c r="F2" s="32" t="n"/>
    </row>
    <row r="3">
      <c r="B3" s="25" t="inlineStr">
        <is>
          <t>Cash Taken</t>
        </is>
      </c>
      <c r="C3" s="24" t="n">
        <v>200000</v>
      </c>
      <c r="D3" s="32" t="n"/>
      <c r="E3" s="8" t="n"/>
      <c r="F3" s="32" t="n">
        <v>29000</v>
      </c>
      <c r="H3" s="23" t="n">
        <v>10000</v>
      </c>
    </row>
    <row r="4">
      <c r="B4" s="25" t="inlineStr">
        <is>
          <t>Spent</t>
        </is>
      </c>
      <c r="C4" s="22">
        <f>C33</f>
        <v/>
      </c>
      <c r="D4" s="32" t="n"/>
      <c r="E4" s="8" t="n"/>
      <c r="F4" s="32" t="n">
        <v>25000</v>
      </c>
      <c r="H4" s="23" t="n">
        <v>10000</v>
      </c>
    </row>
    <row r="5">
      <c r="B5" s="26" t="inlineStr">
        <is>
          <t>Balance</t>
        </is>
      </c>
      <c r="C5" s="22">
        <f>C3-C4</f>
        <v/>
      </c>
      <c r="D5" s="32" t="n"/>
      <c r="E5" s="8" t="n"/>
      <c r="F5" s="32">
        <f>SUM(F3:F4)</f>
        <v/>
      </c>
    </row>
    <row r="6">
      <c r="B6" s="8" t="n"/>
      <c r="C6" s="8" t="n"/>
      <c r="D6" s="32" t="n"/>
      <c r="E6" s="8" t="n"/>
      <c r="F6" s="32">
        <f>C5-F5</f>
        <v/>
      </c>
      <c r="H6" s="23" t="n">
        <v>25000</v>
      </c>
    </row>
    <row r="7">
      <c r="B7" s="9" t="inlineStr">
        <is>
          <t>Institute</t>
        </is>
      </c>
      <c r="C7" s="9" t="inlineStr">
        <is>
          <t>Registration Fee</t>
        </is>
      </c>
      <c r="D7" s="21" t="inlineStr">
        <is>
          <t>Postal chargers</t>
        </is>
      </c>
      <c r="E7" s="10" t="n"/>
      <c r="F7" s="29" t="n"/>
      <c r="H7" s="23" t="n">
        <v>5900</v>
      </c>
      <c r="J7" s="23" t="n">
        <v>149610</v>
      </c>
    </row>
    <row r="8">
      <c r="B8" s="11" t="inlineStr">
        <is>
          <t>NH Galle</t>
        </is>
      </c>
      <c r="C8" s="22" t="n">
        <v>3500</v>
      </c>
      <c r="D8" s="14" t="n">
        <v>140</v>
      </c>
      <c r="E8" s="8" t="n"/>
      <c r="F8" s="32" t="n">
        <v>71405</v>
      </c>
      <c r="H8" s="23">
        <f>SUM(H6:H7)</f>
        <v/>
      </c>
      <c r="J8" s="23">
        <f>H8+H11</f>
        <v/>
      </c>
    </row>
    <row r="9">
      <c r="B9" s="11" t="inlineStr">
        <is>
          <t>DGH Polonnaruwa</t>
        </is>
      </c>
      <c r="C9" s="22" t="n">
        <v>3000</v>
      </c>
      <c r="D9" s="22" t="n">
        <v>630</v>
      </c>
      <c r="E9" s="8" t="n"/>
      <c r="F9" s="31">
        <f>F8-F6</f>
        <v/>
      </c>
      <c r="J9" s="23" t="n">
        <v>6000</v>
      </c>
    </row>
    <row r="10">
      <c r="B10" s="11" t="inlineStr">
        <is>
          <t>NNSH Polonnaruwa</t>
        </is>
      </c>
      <c r="C10" s="22" t="n">
        <v>1500</v>
      </c>
      <c r="D10" s="22" t="n">
        <v>450</v>
      </c>
      <c r="E10" s="8" t="n"/>
      <c r="F10" s="31" t="n">
        <v>13000</v>
      </c>
      <c r="H10" s="23" t="n">
        <v>108300</v>
      </c>
    </row>
    <row r="11">
      <c r="B11" s="11" t="inlineStr">
        <is>
          <t>AMH</t>
        </is>
      </c>
      <c r="C11" s="14" t="n">
        <v>3000</v>
      </c>
      <c r="D11" s="22" t="n">
        <v>390</v>
      </c>
      <c r="E11" s="8" t="n"/>
      <c r="F11" s="31">
        <f>SUM(F9:F10)</f>
        <v/>
      </c>
      <c r="H11" s="23">
        <f>H10-H8</f>
        <v/>
      </c>
      <c r="J11" s="23">
        <f>SUM(J7:J10)</f>
        <v/>
      </c>
    </row>
    <row r="12">
      <c r="B12" s="11" t="inlineStr">
        <is>
          <t>German Lanka Hospital for Women</t>
        </is>
      </c>
      <c r="C12" s="22" t="n">
        <v>2000</v>
      </c>
      <c r="D12" s="14" t="n"/>
      <c r="E12" s="8" t="n"/>
      <c r="F12" s="31" t="n"/>
      <c r="H12" s="23">
        <f>H11-29000</f>
        <v/>
      </c>
    </row>
    <row r="13">
      <c r="B13" s="11" t="inlineStr">
        <is>
          <t>IDH</t>
        </is>
      </c>
      <c r="C13" s="14" t="n">
        <v>7000</v>
      </c>
      <c r="D13" s="22" t="n"/>
      <c r="E13" s="8" t="n"/>
      <c r="F13" s="31" t="n"/>
    </row>
    <row r="14">
      <c r="B14" s="11" t="inlineStr">
        <is>
          <t>DGH Matale</t>
        </is>
      </c>
      <c r="C14" s="14" t="n">
        <v>6000</v>
      </c>
      <c r="D14" s="14" t="n"/>
      <c r="E14" s="8" t="n"/>
      <c r="F14" s="32" t="n"/>
    </row>
    <row r="15">
      <c r="B15" s="11" t="inlineStr">
        <is>
          <t>Apeksha Hospital Maharagama</t>
        </is>
      </c>
      <c r="C15" s="14" t="n">
        <v>500</v>
      </c>
      <c r="D15" s="14" t="n"/>
      <c r="E15" s="16" t="n"/>
      <c r="F15" s="33" t="n"/>
    </row>
    <row r="16">
      <c r="B16" s="11" t="inlineStr">
        <is>
          <t>DGH Matara</t>
        </is>
      </c>
      <c r="C16" s="14" t="n">
        <v>4000</v>
      </c>
      <c r="D16" s="14" t="n"/>
      <c r="E16" s="8" t="n"/>
      <c r="F16" s="32" t="n"/>
    </row>
    <row r="17">
      <c r="B17" s="11" t="inlineStr">
        <is>
          <t>CEBH Mulleriyawa</t>
        </is>
      </c>
      <c r="C17" s="14" t="n">
        <v>11000</v>
      </c>
      <c r="D17" s="14" t="n"/>
      <c r="E17" s="8" t="n"/>
      <c r="F17" s="32" t="n"/>
    </row>
    <row r="18">
      <c r="B18" s="11" t="inlineStr">
        <is>
          <t>TH Badulla</t>
        </is>
      </c>
      <c r="C18" s="14" t="n">
        <v>5000</v>
      </c>
      <c r="D18" s="14" t="n"/>
      <c r="E18" s="8" t="n"/>
      <c r="F18" s="32" t="n"/>
    </row>
    <row r="19">
      <c r="B19" s="11" t="inlineStr">
        <is>
          <t>DGH Nawalapitiya</t>
        </is>
      </c>
      <c r="C19" s="14" t="n">
        <v>3000</v>
      </c>
      <c r="D19" s="22" t="n">
        <v>2400</v>
      </c>
      <c r="E19" s="8" t="n"/>
      <c r="F19" s="32" t="n"/>
    </row>
    <row r="20">
      <c r="B20" s="11" t="inlineStr">
        <is>
          <t>DGH Embilipitiya</t>
        </is>
      </c>
      <c r="C20" s="14" t="n">
        <v>2500</v>
      </c>
      <c r="D20" s="22" t="n"/>
      <c r="E20" s="8" t="n"/>
      <c r="F20" s="32" t="n"/>
    </row>
    <row r="21">
      <c r="B21" s="11" t="inlineStr">
        <is>
          <t>RDHS Kalutara</t>
        </is>
      </c>
      <c r="C21" s="14" t="n">
        <v>2000</v>
      </c>
      <c r="D21" s="22" t="n"/>
      <c r="E21" s="8" t="n"/>
      <c r="F21" s="32" t="n"/>
    </row>
    <row r="22">
      <c r="B22" s="11" t="inlineStr">
        <is>
          <t>Kings Hospital</t>
        </is>
      </c>
      <c r="C22" s="14" t="n">
        <v>1500</v>
      </c>
      <c r="D22" s="22" t="n"/>
      <c r="E22" s="8" t="n"/>
      <c r="F22" s="32" t="n"/>
    </row>
    <row r="23">
      <c r="B23" s="11" t="inlineStr">
        <is>
          <t>TH Kalutara</t>
        </is>
      </c>
      <c r="C23" s="14" t="n">
        <v>6000</v>
      </c>
      <c r="D23" s="22" t="n"/>
      <c r="E23" s="8" t="n"/>
      <c r="F23" s="32" t="n"/>
    </row>
    <row r="24">
      <c r="B24" s="11" t="inlineStr">
        <is>
          <t>RDHS Gampaha</t>
        </is>
      </c>
      <c r="C24" s="14" t="n">
        <v>2000</v>
      </c>
      <c r="D24" s="22" t="n"/>
      <c r="E24" s="8" t="n"/>
      <c r="F24" s="32" t="n"/>
    </row>
    <row r="25">
      <c r="B25" s="11" t="inlineStr">
        <is>
          <t>Nawaloka Hospitals PLC</t>
        </is>
      </c>
      <c r="C25" s="14" t="n">
        <v>5000</v>
      </c>
      <c r="D25" s="22" t="n"/>
      <c r="E25" s="8" t="n"/>
      <c r="F25" s="32" t="n"/>
    </row>
    <row r="26">
      <c r="B26" s="11" t="inlineStr">
        <is>
          <t>Red Cross</t>
        </is>
      </c>
      <c r="C26" s="14" t="n">
        <v>2000</v>
      </c>
      <c r="D26" s="22" t="n"/>
      <c r="E26" s="8" t="n"/>
      <c r="F26" s="32" t="n"/>
    </row>
    <row r="27">
      <c r="B27" s="11" t="inlineStr">
        <is>
          <t>TH Kuliyapitiya</t>
        </is>
      </c>
      <c r="C27" s="14" t="n">
        <v>3000</v>
      </c>
      <c r="D27" s="22" t="n"/>
      <c r="E27" s="8" t="n"/>
      <c r="F27" s="32" t="n"/>
    </row>
    <row r="28">
      <c r="B28" s="11" t="inlineStr">
        <is>
          <t>Castle street</t>
        </is>
      </c>
      <c r="C28" s="14" t="n">
        <v>5000</v>
      </c>
      <c r="D28" s="22" t="n"/>
      <c r="E28" s="8" t="n"/>
      <c r="F28" s="32" t="n"/>
    </row>
    <row r="29">
      <c r="B29" s="11" t="inlineStr">
        <is>
          <t>TH Jaffna</t>
        </is>
      </c>
      <c r="C29" s="14" t="n">
        <v>4000</v>
      </c>
      <c r="D29" s="22" t="n"/>
      <c r="E29" s="8" t="n"/>
      <c r="F29" s="32" t="n"/>
    </row>
    <row r="30">
      <c r="B30" s="11" t="inlineStr">
        <is>
          <t>BH Akkaraipattu</t>
        </is>
      </c>
      <c r="C30" s="14" t="n">
        <v>2040</v>
      </c>
      <c r="D30" s="22" t="n">
        <v>290</v>
      </c>
      <c r="E30" s="8" t="n"/>
      <c r="F30" s="32" t="n"/>
    </row>
    <row r="31">
      <c r="B31" s="11" t="inlineStr">
        <is>
          <t>LRH</t>
        </is>
      </c>
      <c r="C31" s="14" t="n">
        <v>3000</v>
      </c>
      <c r="D31" s="22" t="n"/>
      <c r="E31" s="8" t="n"/>
      <c r="F31" s="32" t="n"/>
    </row>
    <row r="32">
      <c r="B32" s="18" t="inlineStr">
        <is>
          <t>Total</t>
        </is>
      </c>
      <c r="C32" s="21">
        <f>SUM(C8:C31)</f>
        <v/>
      </c>
      <c r="D32" s="21">
        <f>SUM(D9:D31)</f>
        <v/>
      </c>
      <c r="E32" s="8" t="n"/>
      <c r="F32" s="32" t="n"/>
    </row>
    <row r="33" ht="14.5" customHeight="1">
      <c r="B33" s="19" t="inlineStr">
        <is>
          <t>Grand Total</t>
        </is>
      </c>
      <c r="C33" s="40">
        <f>SUM(C32:D32)</f>
        <v/>
      </c>
      <c r="D33" s="41" t="n"/>
    </row>
  </sheetData>
  <mergeCells count="2">
    <mergeCell ref="C33:D33"/>
    <mergeCell ref="B1:D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Dilesha Wijayasiriwardena</dc:creator>
  <dcterms:created xsi:type="dcterms:W3CDTF">2025-11-04T04:38:12Z</dcterms:created>
  <dcterms:modified xsi:type="dcterms:W3CDTF">2026-10-16T05:37:54Z</dcterms:modified>
  <cp:lastModifiedBy>Dilesha Wijayasiriwardena</cp:lastModifiedBy>
  <cp:lastPrinted>2025-12-27T10:16:47Z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8de25a8-ef47-40a7-b7ec-c38f3edc2acf_Enabled" fmtid="{D5CDD505-2E9C-101B-9397-08002B2CF9AE}" pid="2">
    <vt:lpwstr>true</vt:lpwstr>
  </property>
  <property name="MSIP_Label_a8de25a8-ef47-40a7-b7ec-c38f3edc2acf_SetDate" fmtid="{D5CDD505-2E9C-101B-9397-08002B2CF9AE}" pid="3">
    <vt:lpwstr>2025-11-06T08:39:27Z</vt:lpwstr>
  </property>
  <property name="MSIP_Label_a8de25a8-ef47-40a7-b7ec-c38f3edc2acf_Method" fmtid="{D5CDD505-2E9C-101B-9397-08002B2CF9AE}" pid="4">
    <vt:lpwstr>Standard</vt:lpwstr>
  </property>
  <property name="MSIP_Label_a8de25a8-ef47-40a7-b7ec-c38f3edc2acf_Name" fmtid="{D5CDD505-2E9C-101B-9397-08002B2CF9AE}" pid="5">
    <vt:lpwstr>a8de25a8-ef47-40a7-b7ec-c38f3edc2acf</vt:lpwstr>
  </property>
  <property name="MSIP_Label_a8de25a8-ef47-40a7-b7ec-c38f3edc2acf_SiteId" fmtid="{D5CDD505-2E9C-101B-9397-08002B2CF9AE}" pid="6">
    <vt:lpwstr>15d1bef2-0a6a-46f9-be4c-023279325e51</vt:lpwstr>
  </property>
  <property name="MSIP_Label_a8de25a8-ef47-40a7-b7ec-c38f3edc2acf_ActionId" fmtid="{D5CDD505-2E9C-101B-9397-08002B2CF9AE}" pid="7">
    <vt:lpwstr>a417c942-a7fc-44fc-a6a3-52bf5144305d</vt:lpwstr>
  </property>
  <property name="MSIP_Label_a8de25a8-ef47-40a7-b7ec-c38f3edc2acf_ContentBits" fmtid="{D5CDD505-2E9C-101B-9397-08002B2CF9AE}" pid="8">
    <vt:lpwstr>0</vt:lpwstr>
  </property>
  <property name="MSIP_Label_a8de25a8-ef47-40a7-b7ec-c38f3edc2acf_Tag" fmtid="{D5CDD505-2E9C-101B-9397-08002B2CF9AE}" pid="9">
    <vt:lpwstr>10, 3, 0, 1</vt:lpwstr>
  </property>
  <property name="ContentTypeId" fmtid="{D5CDD505-2E9C-101B-9397-08002B2CF9AE}" pid="10">
    <vt:lpwstr>0x010100DA0EAFAA5B23D84A8A74B8EE5D9B1891</vt:lpwstr>
  </property>
  <property name="MediaServiceImageTags" fmtid="{D5CDD505-2E9C-101B-9397-08002B2CF9AE}" pid="11">
    <vt:lpwstr/>
  </property>
</Properties>
</file>